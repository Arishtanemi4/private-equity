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\private-equity\poc\macros\"/>
    </mc:Choice>
  </mc:AlternateContent>
  <xr:revisionPtr revIDLastSave="0" documentId="13_ncr:1_{373C95C4-F24B-4A24-966F-1A5335671571}" xr6:coauthVersionLast="47" xr6:coauthVersionMax="47" xr10:uidLastSave="{00000000-0000-0000-0000-000000000000}"/>
  <bookViews>
    <workbookView xWindow="-108" yWindow="-108" windowWidth="23256" windowHeight="12456" xr2:uid="{E540AEEE-574E-4BEA-ABD2-107D1A41086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 a="1"/>
  <c r="E2" i="1" a="1"/>
  <c r="A1" i="1" a="1"/>
  <c r="H1" i="1" l="1"/>
  <c r="E2" i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<sst xmlns="http://schemas.openxmlformats.org/spreadsheetml/2006/main" count="1" uniqueCount="1">
  <si>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Balancsheet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</si>
</sst>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8"/>
      <color rgb="FF1F1F1F"/>
      <name val="Google San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D5CD-9267-4A26-B00D-8FCD77E7F3E0}">
  <sheetPr codeName="Sheet1"/>
  <dimension ref="A1:I33"/>
  <sheetViews>
    <sheetView tabSelected="1" workbookViewId="0">
      <selection activeCell="I5" sqref="I5"/>
    </sheetView>
  </sheetViews>
  <sheetFormatPr defaultRowHeight="14.4"/>
  <cols>
    <col min="1" max="1" width="24.77734375" bestFit="1" customWidth="1"/>
    <col min="2" max="2" width="10.33203125" bestFit="1" customWidth="1"/>
    <col min="5" max="5" width="24.77734375" bestFit="1" customWidth="1"/>
    <col min="6" max="6" width="10.33203125" bestFit="1" customWidth="1"/>
    <col min="8" max="8" width="24.77734375" bestFit="1" customWidth="1"/>
    <col min="9" max="9" width="10.33203125" bestFit="1" customWidth="1"/>
  </cols>
  <sheetData>
    <row r="1" spans="1:9">
      <c r="A1" s="1" t="str" cm="1">
        <f t="array" ref="A1:B27">PNL("hdfcamc","Q4FY20")</f>
        <v>company_name</v>
      </c>
      <c r="B1" t="str">
        <v>hdfcamc</v>
      </c>
      <c r="E1" s="2" t="s">
        <v>0</v>
      </c>
      <c r="F1" s="2"/>
      <c r="H1" t="str" cm="1">
        <f t="array" ref="H1:I31">CF("hdfcamc","Q4FY24")</f>
        <v>company_name</v>
      </c>
      <c r="I1" t="str">
        <v>hdfcamc</v>
      </c>
    </row>
    <row r="2" spans="1:9">
      <c r="A2" t="str">
        <v>date</v>
      </c>
      <c r="B2" t="str">
        <v>2020-03-31</v>
      </c>
      <c r="E2" t="str" cm="1">
        <f t="array" ref="E2:F33">Bs("hdfcamc","Q4FY24")</f>
        <v>company_name</v>
      </c>
      <c r="F2" t="str">
        <v>hdfcamc</v>
      </c>
      <c r="H2" t="str">
        <v>date</v>
      </c>
      <c r="I2" t="str">
        <v>2024-03-31</v>
      </c>
    </row>
    <row r="3" spans="1:9">
      <c r="A3" t="str">
        <v>quarter</v>
      </c>
      <c r="B3">
        <v>4</v>
      </c>
      <c r="E3" t="str">
        <v>date</v>
      </c>
      <c r="F3" t="str">
        <v>2024-03-31</v>
      </c>
      <c r="H3" t="str">
        <v>quarter</v>
      </c>
      <c r="I3">
        <v>4</v>
      </c>
    </row>
    <row r="4" spans="1:9">
      <c r="A4" t="str">
        <v>year</v>
      </c>
      <c r="B4">
        <v>2020</v>
      </c>
      <c r="E4" t="str">
        <v>quarter</v>
      </c>
      <c r="F4">
        <v>4</v>
      </c>
      <c r="H4" t="str">
        <v>year</v>
      </c>
      <c r="I4">
        <v>2024</v>
      </c>
    </row>
    <row r="5" spans="1:9">
      <c r="A5" t="str">
        <v>fy</v>
      </c>
      <c r="B5" t="str">
        <v>Q4FY20</v>
      </c>
      <c r="E5" t="str">
        <v>year</v>
      </c>
      <c r="F5">
        <v>2024</v>
      </c>
      <c r="H5" t="str">
        <v>fy</v>
      </c>
      <c r="I5" t="str">
        <v>Q4FY24</v>
      </c>
    </row>
    <row r="6" spans="1:9">
      <c r="A6" t="str">
        <v>sales</v>
      </c>
      <c r="B6">
        <v>2124</v>
      </c>
      <c r="E6" t="str">
        <v>fy</v>
      </c>
      <c r="F6" t="str">
        <v>Q4FY24</v>
      </c>
      <c r="H6" t="str">
        <v>cash_from_operating_activity</v>
      </c>
      <c r="I6">
        <v>1620</v>
      </c>
    </row>
    <row r="7" spans="1:9">
      <c r="A7" t="str">
        <v>sales_growth_percent</v>
      </c>
      <c r="B7">
        <v>2.3900000000000001E-2</v>
      </c>
      <c r="E7" t="str">
        <v>equity_capital</v>
      </c>
      <c r="F7">
        <v>107</v>
      </c>
      <c r="H7" t="str">
        <v>profit_from_operations</v>
      </c>
      <c r="I7">
        <v>2012</v>
      </c>
    </row>
    <row r="8" spans="1:9">
      <c r="A8" t="str">
        <v>expenses</v>
      </c>
      <c r="B8">
        <v>431</v>
      </c>
      <c r="E8" t="str">
        <v>reserves</v>
      </c>
      <c r="F8">
        <v>6972</v>
      </c>
      <c r="H8" t="str">
        <v>receivables</v>
      </c>
      <c r="I8">
        <v>90</v>
      </c>
    </row>
    <row r="9" spans="1:9">
      <c r="A9" t="str">
        <v>manufacturing_cost_percent</v>
      </c>
      <c r="B9">
        <v>2.0500000000000001E-2</v>
      </c>
      <c r="E9" t="str">
        <v>borrowings</v>
      </c>
      <c r="F9">
        <v>0</v>
      </c>
      <c r="H9" t="str">
        <v>payables</v>
      </c>
      <c r="I9">
        <v>4</v>
      </c>
    </row>
    <row r="10" spans="1:9">
      <c r="A10" t="str">
        <v>employee_cost_percent</v>
      </c>
      <c r="B10">
        <v>0.1028</v>
      </c>
      <c r="E10" t="str">
        <v>other_liabilities</v>
      </c>
      <c r="F10">
        <v>478</v>
      </c>
      <c r="H10" t="str">
        <v>loans_advances</v>
      </c>
      <c r="I10">
        <v>0</v>
      </c>
    </row>
    <row r="11" spans="1:9">
      <c r="A11" t="str">
        <v>other_cost_percent</v>
      </c>
      <c r="B11">
        <v>7.9600000000000004E-2</v>
      </c>
      <c r="E11" t="str">
        <v>trade_payables</v>
      </c>
      <c r="F11">
        <v>39</v>
      </c>
      <c r="H11" t="str">
        <v>other_wc_items</v>
      </c>
      <c r="I11">
        <v>43</v>
      </c>
    </row>
    <row r="12" spans="1:9">
      <c r="A12" t="str">
        <v>operating_profit</v>
      </c>
      <c r="B12">
        <v>1693</v>
      </c>
      <c r="E12" t="str">
        <v>other_liability_items</v>
      </c>
      <c r="F12">
        <v>440</v>
      </c>
      <c r="H12" t="str">
        <v>working_capital_changes</v>
      </c>
      <c r="I12">
        <v>137</v>
      </c>
    </row>
    <row r="13" spans="1:9">
      <c r="A13" t="str">
        <v>opm_percent</v>
      </c>
      <c r="B13">
        <v>0.8</v>
      </c>
      <c r="E13" t="str">
        <v>total_liabilities</v>
      </c>
      <c r="F13">
        <v>7558</v>
      </c>
      <c r="H13" t="str">
        <v>direct_taxes</v>
      </c>
      <c r="I13">
        <v>-530</v>
      </c>
    </row>
    <row r="14" spans="1:9">
      <c r="A14" t="str">
        <v>other_income</v>
      </c>
      <c r="B14">
        <v>19</v>
      </c>
      <c r="E14" t="str">
        <v>fixed_assets</v>
      </c>
      <c r="F14">
        <v>151</v>
      </c>
      <c r="H14" t="str">
        <v>cash_from_investing_activity</v>
      </c>
      <c r="I14">
        <v>-547</v>
      </c>
    </row>
    <row r="15" spans="1:9">
      <c r="A15" t="str">
        <v>exceptional_items</v>
      </c>
      <c r="B15">
        <v>0.04</v>
      </c>
      <c r="E15" t="str">
        <v>building</v>
      </c>
      <c r="F15">
        <v>26</v>
      </c>
      <c r="H15" t="str">
        <v>fixed_assets_purchased</v>
      </c>
      <c r="I15">
        <v>-19</v>
      </c>
    </row>
    <row r="16" spans="1:9">
      <c r="A16" t="str">
        <v>other_income_normal</v>
      </c>
      <c r="B16">
        <v>18.920000000000002</v>
      </c>
      <c r="E16" t="str">
        <v>equipments</v>
      </c>
      <c r="F16">
        <v>13</v>
      </c>
      <c r="H16" t="str">
        <v>fixed_assets_sold</v>
      </c>
      <c r="I16">
        <v>0</v>
      </c>
    </row>
    <row r="17" spans="1:9">
      <c r="A17" t="str">
        <v>interest</v>
      </c>
      <c r="B17">
        <v>9</v>
      </c>
      <c r="E17" t="str">
        <v>computers</v>
      </c>
      <c r="F17">
        <v>27</v>
      </c>
      <c r="H17" t="str">
        <v>investments_purchased</v>
      </c>
      <c r="I17">
        <v>-3635</v>
      </c>
    </row>
    <row r="18" spans="1:9">
      <c r="A18" t="str">
        <v>depreciation</v>
      </c>
      <c r="B18">
        <v>50</v>
      </c>
      <c r="E18" t="str">
        <v>furniture_n_fittings</v>
      </c>
      <c r="F18">
        <v>4</v>
      </c>
      <c r="H18" t="str">
        <v>investments_sold</v>
      </c>
      <c r="I18">
        <v>3102</v>
      </c>
    </row>
    <row r="19" spans="1:9">
      <c r="A19" t="str">
        <v>profit_before_tax</v>
      </c>
      <c r="B19">
        <v>1653</v>
      </c>
      <c r="E19" t="str">
        <v>vehicles</v>
      </c>
      <c r="F19">
        <v>0</v>
      </c>
      <c r="H19" t="str">
        <v>interest_received</v>
      </c>
      <c r="I19">
        <v>35</v>
      </c>
    </row>
    <row r="20" spans="1:9">
      <c r="A20" t="str">
        <v>tax_percent</v>
      </c>
      <c r="B20">
        <v>0.24</v>
      </c>
      <c r="E20" t="str">
        <v>intangible_assets</v>
      </c>
      <c r="F20">
        <v>6</v>
      </c>
      <c r="H20" t="str">
        <v>dividends_received</v>
      </c>
      <c r="I20">
        <v>0</v>
      </c>
    </row>
    <row r="21" spans="1:9">
      <c r="A21" t="str">
        <v>net_profit</v>
      </c>
      <c r="B21">
        <v>1262</v>
      </c>
      <c r="E21" t="str">
        <v>other_fixed_assets</v>
      </c>
      <c r="F21">
        <v>250</v>
      </c>
      <c r="H21" t="str">
        <v>invest_in_subsidiaries</v>
      </c>
      <c r="I21">
        <v>-31</v>
      </c>
    </row>
    <row r="22" spans="1:9">
      <c r="A22" t="str">
        <v>exceptional_items_at</v>
      </c>
      <c r="B22">
        <v>0</v>
      </c>
      <c r="E22" t="str">
        <v>gross_block</v>
      </c>
      <c r="F22">
        <v>327</v>
      </c>
      <c r="H22" t="str">
        <v>other_investing_items</v>
      </c>
      <c r="I22">
        <v>0</v>
      </c>
    </row>
    <row r="23" spans="1:9">
      <c r="A23" t="str">
        <v>profit_excl_excep</v>
      </c>
      <c r="B23">
        <v>1262</v>
      </c>
      <c r="E23" t="str">
        <v>accumulated_depreciation</v>
      </c>
      <c r="F23">
        <v>175</v>
      </c>
      <c r="H23" t="str">
        <v>cash_from_financing_activity</v>
      </c>
      <c r="I23">
        <v>-1066</v>
      </c>
    </row>
    <row r="24" spans="1:9">
      <c r="A24" t="str">
        <v>profit_for_pe</v>
      </c>
      <c r="B24">
        <v>1262</v>
      </c>
      <c r="E24" t="str">
        <v>cwip</v>
      </c>
      <c r="F24">
        <v>1</v>
      </c>
      <c r="H24" t="str">
        <v>proceeds_from_shares</v>
      </c>
      <c r="I24">
        <v>4</v>
      </c>
    </row>
    <row r="25" spans="1:9">
      <c r="A25" t="str">
        <v>profit_for_eps</v>
      </c>
      <c r="B25">
        <v>1262</v>
      </c>
      <c r="E25" t="str">
        <v>investments</v>
      </c>
      <c r="F25">
        <v>7190</v>
      </c>
      <c r="H25" t="str">
        <v>interest_paid_fin</v>
      </c>
      <c r="I25">
        <v>-9</v>
      </c>
    </row>
    <row r="26" spans="1:9">
      <c r="A26" t="str">
        <v>eps_in_rs</v>
      </c>
      <c r="B26">
        <v>59.32</v>
      </c>
      <c r="E26" t="str">
        <v>other_assets</v>
      </c>
      <c r="F26">
        <v>215</v>
      </c>
      <c r="H26" t="str">
        <v>dividends_paid</v>
      </c>
      <c r="I26">
        <v>-1025</v>
      </c>
    </row>
    <row r="27" spans="1:9">
      <c r="A27" t="str">
        <v>dividend_payout_percent</v>
      </c>
      <c r="B27">
        <v>0.47</v>
      </c>
      <c r="E27" t="str">
        <v>trade_receivables</v>
      </c>
      <c r="F27">
        <v>93</v>
      </c>
      <c r="H27" t="str">
        <v>financial_liabilities</v>
      </c>
      <c r="I27">
        <v>-36</v>
      </c>
    </row>
    <row r="28" spans="1:9">
      <c r="E28" t="str">
        <v>receivables_over_6m</v>
      </c>
      <c r="F28">
        <v>92</v>
      </c>
      <c r="H28" t="str">
        <v>share_application_money</v>
      </c>
      <c r="I28">
        <v>0</v>
      </c>
    </row>
    <row r="29" spans="1:9">
      <c r="E29" t="str">
        <v>receivables_under_6m</v>
      </c>
      <c r="F29">
        <v>1</v>
      </c>
      <c r="H29" t="str">
        <v>application_money_refund</v>
      </c>
      <c r="I29">
        <v>0</v>
      </c>
    </row>
    <row r="30" spans="1:9">
      <c r="E30" t="str">
        <v>cash_equivalents</v>
      </c>
      <c r="F30">
        <v>11</v>
      </c>
      <c r="H30" t="str">
        <v>other_financing_items</v>
      </c>
      <c r="I30">
        <v>0</v>
      </c>
    </row>
    <row r="31" spans="1:9">
      <c r="E31" t="str">
        <v>loans_n_advances</v>
      </c>
      <c r="F31">
        <v>50</v>
      </c>
      <c r="H31" t="str">
        <v>net_cash_flow</v>
      </c>
      <c r="I31">
        <v>7</v>
      </c>
    </row>
    <row r="32" spans="1:9">
      <c r="E32" t="str">
        <v>other_asset_items</v>
      </c>
      <c r="F32">
        <v>61</v>
      </c>
    </row>
    <row r="33" spans="5:6">
      <c r="E33" t="str">
        <v>total_assets</v>
      </c>
      <c r="F33">
        <v>7558</v>
      </c>
    </row>
  </sheetData>
  <mergeCells count="1">
    <mergeCell ref="E1:F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Vedangi Shinde</dc:creator>
  <cp:lastModifiedBy>Kaustubh Sonawane</cp:lastModifiedBy>
  <dcterms:created xsi:type="dcterms:W3CDTF">2025-08-12T09:18:23Z</dcterms:created>
  <dcterms:modified xsi:type="dcterms:W3CDTF">2025-08-12T10:39:57Z</dcterms:modified>
</cp:coreProperties>
</file>